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sk Assessment" sheetId="1" state="visible" r:id="rId1"/>
    <sheet xmlns:r="http://schemas.openxmlformats.org/officeDocument/2006/relationships" name="Scoring Guide" sheetId="2" state="visible" r:id="rId2"/>
    <sheet xmlns:r="http://schemas.openxmlformats.org/officeDocument/2006/relationships" name="Dashboard" sheetId="3" state="visible" r:id="rId3"/>
  </sheets>
  <definedNames>
    <definedName name="_xlnm._FilterDatabase" localSheetId="0" hidden="1">'Risk Assessment'!$A$1:$P$13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FFFFFF"/>
      <sz val="16"/>
    </font>
    <font>
      <b val="1"/>
      <color rgb="00FFFFFF"/>
      <sz val="17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2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3" borderId="0" applyAlignment="1" pivotButton="0" quotePrefix="0" xfId="0">
      <alignment vertical="top" wrapText="1"/>
    </xf>
    <xf numFmtId="0" fontId="3" fillId="2" borderId="0" applyAlignment="1" pivotButton="0" quotePrefix="0" xfId="0">
      <alignment horizontal="center"/>
    </xf>
    <xf numFmtId="0" fontId="1" fillId="3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F4CCCC"/>
        </patternFill>
      </fill>
    </dxf>
    <dxf>
      <fill>
        <patternFill patternType="solid">
          <fgColor rgb="00FCE5CD"/>
        </patternFill>
      </fill>
    </dxf>
    <dxf>
      <fill>
        <patternFill patternType="solid">
          <fgColor rgb="00FFF2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Scenarios by Risk Level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'Dashboard'!E3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'Dashboard'!$D$4:$D$7</f>
            </numRef>
          </cat>
          <val>
            <numRef>
              <f>'Dashboard'!$E$4:$E$7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Risk Level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Number of Scenarios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9</row>
      <rowOff>0</rowOff>
    </from>
    <ext cx="432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PhishingRiskAssessment" displayName="PhishingRiskAssessment" ref="A1:P13" headerRowCount="1">
  <autoFilter ref="A1:P13"/>
  <tableColumns count="16">
    <tableColumn id="1" name="Scenario ID"/>
    <tableColumn id="2" name="Attack Scenario"/>
    <tableColumn id="3" name="Threat Actor Objective"/>
    <tableColumn id="4" name="Primary Target"/>
    <tableColumn id="5" name="Technique / Vector"/>
    <tableColumn id="6" name="Vulnerability Exploited"/>
    <tableColumn id="7" name="Key Warning Signs"/>
    <tableColumn id="8" name="Likelihood (1-5)"/>
    <tableColumn id="9" name="Impact (1-5)"/>
    <tableColumn id="10" name="Risk Score"/>
    <tableColumn id="11" name="Risk Level"/>
    <tableColumn id="12" name="CIA Impact"/>
    <tableColumn id="13" name="Existing Controls"/>
    <tableColumn id="14" name="Recommended Mitigation"/>
    <tableColumn id="15" name="Owner"/>
    <tableColumn id="16" name="Status"/>
  </tableColumns>
  <tableStyleInfo name="TableStyleMedium2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1" customWidth="1" min="2" max="2"/>
    <col width="25" customWidth="1" min="3" max="3"/>
    <col width="22" customWidth="1" min="4" max="4"/>
    <col width="30" customWidth="1" min="5" max="5"/>
    <col width="34" customWidth="1" min="6" max="6"/>
    <col width="35" customWidth="1" min="7" max="7"/>
    <col width="15" customWidth="1" min="8" max="8"/>
    <col width="13" customWidth="1" min="9" max="9"/>
    <col width="12" customWidth="1" min="10" max="10"/>
    <col width="12" customWidth="1" min="11" max="11"/>
    <col width="12" customWidth="1" min="12" max="12"/>
    <col width="30" customWidth="1" min="13" max="13"/>
    <col width="43" customWidth="1" min="14" max="14"/>
    <col width="22" customWidth="1" min="15" max="15"/>
    <col width="19" customWidth="1" min="16" max="16"/>
  </cols>
  <sheetData>
    <row r="1">
      <c r="A1" s="1" t="inlineStr">
        <is>
          <t>Scenario ID</t>
        </is>
      </c>
      <c r="B1" s="1" t="inlineStr">
        <is>
          <t>Attack Scenario</t>
        </is>
      </c>
      <c r="C1" s="1" t="inlineStr">
        <is>
          <t>Threat Actor Objective</t>
        </is>
      </c>
      <c r="D1" s="1" t="inlineStr">
        <is>
          <t>Primary Target</t>
        </is>
      </c>
      <c r="E1" s="1" t="inlineStr">
        <is>
          <t>Technique / Vector</t>
        </is>
      </c>
      <c r="F1" s="1" t="inlineStr">
        <is>
          <t>Vulnerability Exploited</t>
        </is>
      </c>
      <c r="G1" s="1" t="inlineStr">
        <is>
          <t>Key Warning Signs</t>
        </is>
      </c>
      <c r="H1" s="1" t="inlineStr">
        <is>
          <t>Likelihood (1-5)</t>
        </is>
      </c>
      <c r="I1" s="1" t="inlineStr">
        <is>
          <t>Impact (1-5)</t>
        </is>
      </c>
      <c r="J1" s="1" t="inlineStr">
        <is>
          <t>Risk Score</t>
        </is>
      </c>
      <c r="K1" s="1" t="inlineStr">
        <is>
          <t>Risk Level</t>
        </is>
      </c>
      <c r="L1" s="1" t="inlineStr">
        <is>
          <t>CIA Impact</t>
        </is>
      </c>
      <c r="M1" s="1" t="inlineStr">
        <is>
          <t>Existing Controls</t>
        </is>
      </c>
      <c r="N1" s="1" t="inlineStr">
        <is>
          <t>Recommended Mitigation</t>
        </is>
      </c>
      <c r="O1" s="1" t="inlineStr">
        <is>
          <t>Owner</t>
        </is>
      </c>
      <c r="P1" s="1" t="inlineStr">
        <is>
          <t>Status</t>
        </is>
      </c>
    </row>
    <row r="2">
      <c r="A2" s="2" t="inlineStr">
        <is>
          <t>PSE-001</t>
        </is>
      </c>
      <c r="B2" s="2" t="inlineStr">
        <is>
          <t>Credential-harvesting phishing email</t>
        </is>
      </c>
      <c r="C2" s="2" t="inlineStr">
        <is>
          <t>Steal employee credentials</t>
        </is>
      </c>
      <c r="D2" s="2" t="inlineStr">
        <is>
          <t>General workforce</t>
        </is>
      </c>
      <c r="E2" s="2" t="inlineStr">
        <is>
          <t>Spoofed sign-in alert with fraudulent login link</t>
        </is>
      </c>
      <c r="F2" s="2" t="inlineStr">
        <is>
          <t>Users may trust familiar branding and fail to inspect URLs</t>
        </is>
      </c>
      <c r="G2" s="2" t="inlineStr">
        <is>
          <t>Unexpected login alert; mismatched domain; urgency; unusual URL</t>
        </is>
      </c>
      <c r="H2" s="2" t="n">
        <v>5</v>
      </c>
      <c r="I2" s="2" t="n">
        <v>5</v>
      </c>
      <c r="J2" s="2">
        <f>H2*I2</f>
        <v/>
      </c>
      <c r="K2" s="2">
        <f>IF(J2&gt;=20,"Critical",IF(J2&gt;=12,"High",IF(J2&gt;=6,"Medium","Low")))</f>
        <v/>
      </c>
      <c r="L2" s="2" t="inlineStr">
        <is>
          <t>C / I</t>
        </is>
      </c>
      <c r="M2" s="2" t="inlineStr">
        <is>
          <t>Spam filtering; MFA; awareness training</t>
        </is>
      </c>
      <c r="N2" s="2" t="inlineStr">
        <is>
          <t>Use phishing-resistant MFA; URL rewriting/sandboxing; browser protections; targeted simulations</t>
        </is>
      </c>
      <c r="O2" s="2" t="inlineStr">
        <is>
          <t>Security Operations</t>
        </is>
      </c>
      <c r="P2" s="2" t="inlineStr">
        <is>
          <t>In Progress</t>
        </is>
      </c>
    </row>
    <row r="3">
      <c r="A3" s="2" t="inlineStr">
        <is>
          <t>PSE-002</t>
        </is>
      </c>
      <c r="B3" s="2" t="inlineStr">
        <is>
          <t>Business Email Compromise (BEC)</t>
        </is>
      </c>
      <c r="C3" s="2" t="inlineStr">
        <is>
          <t>Redirect organizational funds</t>
        </is>
      </c>
      <c r="D3" s="2" t="inlineStr">
        <is>
          <t>Finance / Accounts Payable</t>
        </is>
      </c>
      <c r="E3" s="2" t="inlineStr">
        <is>
          <t>Executive impersonation requesting urgent payment</t>
        </is>
      </c>
      <c r="F3" s="2" t="inlineStr">
        <is>
          <t>Financial changes may rely on email approval without independent verification</t>
        </is>
      </c>
      <c r="G3" s="2" t="inlineStr">
        <is>
          <t>Urgent secrecy; new bank details; unusual payment request; sender-domain variation</t>
        </is>
      </c>
      <c r="H3" s="2" t="n">
        <v>4</v>
      </c>
      <c r="I3" s="2" t="n">
        <v>5</v>
      </c>
      <c r="J3" s="2">
        <f>H3*I3</f>
        <v/>
      </c>
      <c r="K3" s="2">
        <f>IF(J3&gt;=20,"Critical",IF(J3&gt;=12,"High",IF(J3&gt;=6,"Medium","Low")))</f>
        <v/>
      </c>
      <c r="L3" s="2" t="inlineStr">
        <is>
          <t>C / I</t>
        </is>
      </c>
      <c r="M3" s="2" t="inlineStr">
        <is>
          <t>Email filtering; payment approvals</t>
        </is>
      </c>
      <c r="N3" s="2" t="inlineStr">
        <is>
          <t>Require out-of-band verification; dual approval; DMARC enforcement; BEC-specific training</t>
        </is>
      </c>
      <c r="O3" s="2" t="inlineStr">
        <is>
          <t>Finance &amp; Security</t>
        </is>
      </c>
      <c r="P3" s="2" t="inlineStr">
        <is>
          <t>Mitigation Planned</t>
        </is>
      </c>
    </row>
    <row r="4">
      <c r="A4" s="2" t="inlineStr">
        <is>
          <t>PSE-003</t>
        </is>
      </c>
      <c r="B4" s="2" t="inlineStr">
        <is>
          <t>Spear phishing against privileged administrator</t>
        </is>
      </c>
      <c r="C4" s="2" t="inlineStr">
        <is>
          <t>Obtain privileged access</t>
        </is>
      </c>
      <c r="D4" s="2" t="inlineStr">
        <is>
          <t>IT administrators</t>
        </is>
      </c>
      <c r="E4" s="2" t="inlineStr">
        <is>
          <t>Targeted message containing malicious link or attachment</t>
        </is>
      </c>
      <c r="F4" s="2" t="inlineStr">
        <is>
          <t>Privileged users remain susceptible to highly tailored social engineering</t>
        </is>
      </c>
      <c r="G4" s="2" t="inlineStr">
        <is>
          <t>Personalized context; unusual attachment; external sender; credential prompt</t>
        </is>
      </c>
      <c r="H4" s="2" t="n">
        <v>4</v>
      </c>
      <c r="I4" s="2" t="n">
        <v>5</v>
      </c>
      <c r="J4" s="2">
        <f>H4*I4</f>
        <v/>
      </c>
      <c r="K4" s="2">
        <f>IF(J4&gt;=20,"Critical",IF(J4&gt;=12,"High",IF(J4&gt;=6,"Medium","Low")))</f>
        <v/>
      </c>
      <c r="L4" s="2" t="inlineStr">
        <is>
          <t>C / I / A</t>
        </is>
      </c>
      <c r="M4" s="2" t="inlineStr">
        <is>
          <t>EDR; MFA; email filtering</t>
        </is>
      </c>
      <c r="N4" s="2" t="inlineStr">
        <is>
          <t>Privileged access workstations; phishing-resistant MFA; attachment sandboxing; PAM</t>
        </is>
      </c>
      <c r="O4" s="2" t="inlineStr">
        <is>
          <t>IAM / Security</t>
        </is>
      </c>
      <c r="P4" s="2" t="inlineStr">
        <is>
          <t>Open</t>
        </is>
      </c>
    </row>
    <row r="5">
      <c r="A5" s="2" t="inlineStr">
        <is>
          <t>PSE-004</t>
        </is>
      </c>
      <c r="B5" s="2" t="inlineStr">
        <is>
          <t>Vendor impersonation</t>
        </is>
      </c>
      <c r="C5" s="2" t="inlineStr">
        <is>
          <t>Change payment or account information</t>
        </is>
      </c>
      <c r="D5" s="2" t="inlineStr">
        <is>
          <t>Procurement / Finance</t>
        </is>
      </c>
      <c r="E5" s="2" t="inlineStr">
        <is>
          <t>Compromised or look-alike vendor email</t>
        </is>
      </c>
      <c r="F5" s="2" t="inlineStr">
        <is>
          <t>Vendor change requests may not be independently validated</t>
        </is>
      </c>
      <c r="G5" s="2" t="inlineStr">
        <is>
          <t>Changed bank account; domain typo; altered signature; unusual urgency</t>
        </is>
      </c>
      <c r="H5" s="2" t="n">
        <v>4</v>
      </c>
      <c r="I5" s="2" t="n">
        <v>5</v>
      </c>
      <c r="J5" s="2">
        <f>H5*I5</f>
        <v/>
      </c>
      <c r="K5" s="2">
        <f>IF(J5&gt;=20,"Critical",IF(J5&gt;=12,"High",IF(J5&gt;=6,"Medium","Low")))</f>
        <v/>
      </c>
      <c r="L5" s="2" t="inlineStr">
        <is>
          <t>C / I</t>
        </is>
      </c>
      <c r="M5" s="2" t="inlineStr">
        <is>
          <t>Vendor records; approval workflow</t>
        </is>
      </c>
      <c r="N5" s="2" t="inlineStr">
        <is>
          <t>Verify changes using known contact information; vendor authentication procedures; dual approval</t>
        </is>
      </c>
      <c r="O5" s="2" t="inlineStr">
        <is>
          <t>Vendor Management</t>
        </is>
      </c>
      <c r="P5" s="2" t="inlineStr">
        <is>
          <t>Open</t>
        </is>
      </c>
    </row>
    <row r="6">
      <c r="A6" s="2" t="inlineStr">
        <is>
          <t>PSE-005</t>
        </is>
      </c>
      <c r="B6" s="2" t="inlineStr">
        <is>
          <t>Malicious attachment phishing</t>
        </is>
      </c>
      <c r="C6" s="2" t="inlineStr">
        <is>
          <t>Deploy malware or ransomware</t>
        </is>
      </c>
      <c r="D6" s="2" t="inlineStr">
        <is>
          <t>General workforce</t>
        </is>
      </c>
      <c r="E6" s="2" t="inlineStr">
        <is>
          <t>Weaponized document or archive delivered by email</t>
        </is>
      </c>
      <c r="F6" s="2" t="inlineStr">
        <is>
          <t>Users may open unexpected attachments and endpoint controls may be bypassed</t>
        </is>
      </c>
      <c r="G6" s="2" t="inlineStr">
        <is>
          <t>Unexpected attachment; macro prompt; password-protected archive; unusual file type</t>
        </is>
      </c>
      <c r="H6" s="2" t="n">
        <v>4</v>
      </c>
      <c r="I6" s="2" t="n">
        <v>5</v>
      </c>
      <c r="J6" s="2">
        <f>H6*I6</f>
        <v/>
      </c>
      <c r="K6" s="2">
        <f>IF(J6&gt;=20,"Critical",IF(J6&gt;=12,"High",IF(J6&gt;=6,"Medium","Low")))</f>
        <v/>
      </c>
      <c r="L6" s="2" t="inlineStr">
        <is>
          <t>C / I / A</t>
        </is>
      </c>
      <c r="M6" s="2" t="inlineStr">
        <is>
          <t>Endpoint protection; email filtering</t>
        </is>
      </c>
      <c r="N6" s="2" t="inlineStr">
        <is>
          <t>Attachment sandboxing; block risky file types; EDR; least privilege; user training</t>
        </is>
      </c>
      <c r="O6" s="2" t="inlineStr">
        <is>
          <t>Security Operations</t>
        </is>
      </c>
      <c r="P6" s="2" t="inlineStr">
        <is>
          <t>In Progress</t>
        </is>
      </c>
    </row>
    <row r="7">
      <c r="A7" s="2" t="inlineStr">
        <is>
          <t>PSE-006</t>
        </is>
      </c>
      <c r="B7" s="2" t="inlineStr">
        <is>
          <t>MFA fatigue / push bombing</t>
        </is>
      </c>
      <c r="C7" s="2" t="inlineStr">
        <is>
          <t>Approve attacker login</t>
        </is>
      </c>
      <c r="D7" s="2" t="inlineStr">
        <is>
          <t>Remote workforce</t>
        </is>
      </c>
      <c r="E7" s="2" t="inlineStr">
        <is>
          <t>Repeated authentication prompts paired with social engineering</t>
        </is>
      </c>
      <c r="F7" s="2" t="inlineStr">
        <is>
          <t>Push-based MFA can be approved accidentally or under pressure</t>
        </is>
      </c>
      <c r="G7" s="2" t="inlineStr">
        <is>
          <t>Repeated prompts; unsolicited help-desk contact; unfamiliar login location</t>
        </is>
      </c>
      <c r="H7" s="2" t="n">
        <v>4</v>
      </c>
      <c r="I7" s="2" t="n">
        <v>5</v>
      </c>
      <c r="J7" s="2">
        <f>H7*I7</f>
        <v/>
      </c>
      <c r="K7" s="2">
        <f>IF(J7&gt;=20,"Critical",IF(J7&gt;=12,"High",IF(J7&gt;=6,"Medium","Low")))</f>
        <v/>
      </c>
      <c r="L7" s="2" t="inlineStr">
        <is>
          <t>C / I</t>
        </is>
      </c>
      <c r="M7" s="2" t="inlineStr">
        <is>
          <t>Push MFA; login alerts</t>
        </is>
      </c>
      <c r="N7" s="2" t="inlineStr">
        <is>
          <t>Use number matching or phishing-resistant MFA; rate-limit prompts; train users to report unexpected requests</t>
        </is>
      </c>
      <c r="O7" s="2" t="inlineStr">
        <is>
          <t>IAM Team</t>
        </is>
      </c>
      <c r="P7" s="2" t="inlineStr">
        <is>
          <t>Mitigation Planned</t>
        </is>
      </c>
    </row>
    <row r="8">
      <c r="A8" s="2" t="inlineStr">
        <is>
          <t>PSE-007</t>
        </is>
      </c>
      <c r="B8" s="2" t="inlineStr">
        <is>
          <t>Help-desk impersonation / pretexting</t>
        </is>
      </c>
      <c r="C8" s="2" t="inlineStr">
        <is>
          <t>Reset password or bypass authentication</t>
        </is>
      </c>
      <c r="D8" s="2" t="inlineStr">
        <is>
          <t>Help desk</t>
        </is>
      </c>
      <c r="E8" s="2" t="inlineStr">
        <is>
          <t>Phone or chat impersonation of employee</t>
        </is>
      </c>
      <c r="F8" s="2" t="inlineStr">
        <is>
          <t>Identity verification procedures may rely on easily obtained personal information</t>
        </is>
      </c>
      <c r="G8" s="2" t="inlineStr">
        <is>
          <t>Caller urgency; inability to satisfy verification; request to bypass normal process</t>
        </is>
      </c>
      <c r="H8" s="2" t="n">
        <v>3</v>
      </c>
      <c r="I8" s="2" t="n">
        <v>5</v>
      </c>
      <c r="J8" s="2">
        <f>H8*I8</f>
        <v/>
      </c>
      <c r="K8" s="2">
        <f>IF(J8&gt;=20,"Critical",IF(J8&gt;=12,"High",IF(J8&gt;=6,"Medium","Low")))</f>
        <v/>
      </c>
      <c r="L8" s="2" t="inlineStr">
        <is>
          <t>C / I</t>
        </is>
      </c>
      <c r="M8" s="2" t="inlineStr">
        <is>
          <t>Help-desk scripts; account verification</t>
        </is>
      </c>
      <c r="N8" s="2" t="inlineStr">
        <is>
          <t>Strengthen identity verification; prohibit control bypasses; log/escalate suspicious reset attempts</t>
        </is>
      </c>
      <c r="O8" s="2" t="inlineStr">
        <is>
          <t>IT Service Desk</t>
        </is>
      </c>
      <c r="P8" s="2" t="inlineStr">
        <is>
          <t>Open</t>
        </is>
      </c>
    </row>
    <row r="9">
      <c r="A9" s="2" t="inlineStr">
        <is>
          <t>PSE-008</t>
        </is>
      </c>
      <c r="B9" s="2" t="inlineStr">
        <is>
          <t>QR-code phishing (quishing)</t>
        </is>
      </c>
      <c r="C9" s="2" t="inlineStr">
        <is>
          <t>Capture credentials or redirect to malicious site</t>
        </is>
      </c>
      <c r="D9" s="2" t="inlineStr">
        <is>
          <t>Mobile users</t>
        </is>
      </c>
      <c r="E9" s="2" t="inlineStr">
        <is>
          <t>QR code in email, flyer, or document</t>
        </is>
      </c>
      <c r="F9" s="2" t="inlineStr">
        <is>
          <t>QR destinations are difficult to inspect before scanning</t>
        </is>
      </c>
      <c r="G9" s="2" t="inlineStr">
        <is>
          <t>Unexpected QR code; login request after scan; urgency; shortened/obscured destination</t>
        </is>
      </c>
      <c r="H9" s="2" t="n">
        <v>4</v>
      </c>
      <c r="I9" s="2" t="n">
        <v>4</v>
      </c>
      <c r="J9" s="2">
        <f>H9*I9</f>
        <v/>
      </c>
      <c r="K9" s="2">
        <f>IF(J9&gt;=20,"Critical",IF(J9&gt;=12,"High",IF(J9&gt;=6,"Medium","Low")))</f>
        <v/>
      </c>
      <c r="L9" s="2" t="inlineStr">
        <is>
          <t>C / I</t>
        </is>
      </c>
      <c r="M9" s="2" t="inlineStr">
        <is>
          <t>Email filtering; awareness training</t>
        </is>
      </c>
      <c r="N9" s="2" t="inlineStr">
        <is>
          <t>Mobile threat defense; QR awareness; block risky destinations; phishing-resistant MFA</t>
        </is>
      </c>
      <c r="O9" s="2" t="inlineStr">
        <is>
          <t>Security Awareness</t>
        </is>
      </c>
      <c r="P9" s="2" t="inlineStr">
        <is>
          <t>Open</t>
        </is>
      </c>
    </row>
    <row r="10">
      <c r="A10" s="2" t="inlineStr">
        <is>
          <t>PSE-009</t>
        </is>
      </c>
      <c r="B10" s="2" t="inlineStr">
        <is>
          <t>Fake shared-document notification</t>
        </is>
      </c>
      <c r="C10" s="2" t="inlineStr">
        <is>
          <t>Steal cloud credentials</t>
        </is>
      </c>
      <c r="D10" s="2" t="inlineStr">
        <is>
          <t>Knowledge workers</t>
        </is>
      </c>
      <c r="E10" s="2" t="inlineStr">
        <is>
          <t>Fraudulent file-share invitation</t>
        </is>
      </c>
      <c r="F10" s="2" t="inlineStr">
        <is>
          <t>Employees routinely receive legitimate collaboration notifications</t>
        </is>
      </c>
      <c r="G10" s="2" t="inlineStr">
        <is>
          <t>Unexpected document; external sender; fake Microsoft/Google login page; URL mismatch</t>
        </is>
      </c>
      <c r="H10" s="2" t="n">
        <v>5</v>
      </c>
      <c r="I10" s="2" t="n">
        <v>4</v>
      </c>
      <c r="J10" s="2">
        <f>H10*I10</f>
        <v/>
      </c>
      <c r="K10" s="2">
        <f>IF(J10&gt;=20,"Critical",IF(J10&gt;=12,"High",IF(J10&gt;=6,"Medium","Low")))</f>
        <v/>
      </c>
      <c r="L10" s="2" t="inlineStr">
        <is>
          <t>C / I</t>
        </is>
      </c>
      <c r="M10" s="2" t="inlineStr">
        <is>
          <t>Cloud security; email filtering</t>
        </is>
      </c>
      <c r="N10" s="2" t="inlineStr">
        <is>
          <t>Safe-link inspection; external sender banners; phishing-resistant MFA; report-phish button</t>
        </is>
      </c>
      <c r="O10" s="2" t="inlineStr">
        <is>
          <t>Cloud Security</t>
        </is>
      </c>
      <c r="P10" s="2" t="inlineStr">
        <is>
          <t>In Progress</t>
        </is>
      </c>
    </row>
    <row r="11">
      <c r="A11" s="2" t="inlineStr">
        <is>
          <t>PSE-010</t>
        </is>
      </c>
      <c r="B11" s="2" t="inlineStr">
        <is>
          <t>Smishing targeting employee mobile device</t>
        </is>
      </c>
      <c r="C11" s="2" t="inlineStr">
        <is>
          <t>Capture credentials or install malware</t>
        </is>
      </c>
      <c r="D11" s="2" t="inlineStr">
        <is>
          <t>Remote / mobile workforce</t>
        </is>
      </c>
      <c r="E11" s="2" t="inlineStr">
        <is>
          <t>SMS impersonating IT, payroll, or delivery service</t>
        </is>
      </c>
      <c r="F11" s="2" t="inlineStr">
        <is>
          <t>Personal/mobile channels may fall outside enterprise email defenses</t>
        </is>
      </c>
      <c r="G11" s="2" t="inlineStr">
        <is>
          <t>Unknown sender; shortened link; urgency; request for credentials/payment</t>
        </is>
      </c>
      <c r="H11" s="2" t="n">
        <v>4</v>
      </c>
      <c r="I11" s="2" t="n">
        <v>4</v>
      </c>
      <c r="J11" s="2">
        <f>H11*I11</f>
        <v/>
      </c>
      <c r="K11" s="2">
        <f>IF(J11&gt;=20,"Critical",IF(J11&gt;=12,"High",IF(J11&gt;=6,"Medium","Low")))</f>
        <v/>
      </c>
      <c r="L11" s="2" t="inlineStr">
        <is>
          <t>C / I</t>
        </is>
      </c>
      <c r="M11" s="2" t="inlineStr">
        <is>
          <t>Mobile device policy; awareness training</t>
        </is>
      </c>
      <c r="N11" s="2" t="inlineStr">
        <is>
          <t>Mobile threat defense; SMS awareness; prohibit credential entry from unsolicited texts</t>
        </is>
      </c>
      <c r="O11" s="2" t="inlineStr">
        <is>
          <t>Endpoint Management</t>
        </is>
      </c>
      <c r="P11" s="2" t="inlineStr">
        <is>
          <t>Open</t>
        </is>
      </c>
    </row>
    <row r="12">
      <c r="A12" s="2" t="inlineStr">
        <is>
          <t>PSE-011</t>
        </is>
      </c>
      <c r="B12" s="2" t="inlineStr">
        <is>
          <t>Executive impersonation via messaging platform</t>
        </is>
      </c>
      <c r="C12" s="2" t="inlineStr">
        <is>
          <t>Obtain sensitive data or fraudulent action</t>
        </is>
      </c>
      <c r="D12" s="2" t="inlineStr">
        <is>
          <t>Executive assistants / finance</t>
        </is>
      </c>
      <c r="E12" s="2" t="inlineStr">
        <is>
          <t>Fake or compromised chat account</t>
        </is>
      </c>
      <c r="F12" s="2" t="inlineStr">
        <is>
          <t>Employees may respond quickly to apparent executive requests</t>
        </is>
      </c>
      <c r="G12" s="2" t="inlineStr">
        <is>
          <t>New account; unusual tone; secrecy; urgent request outside normal process</t>
        </is>
      </c>
      <c r="H12" s="2" t="n">
        <v>3</v>
      </c>
      <c r="I12" s="2" t="n">
        <v>5</v>
      </c>
      <c r="J12" s="2">
        <f>H12*I12</f>
        <v/>
      </c>
      <c r="K12" s="2">
        <f>IF(J12&gt;=20,"Critical",IF(J12&gt;=12,"High",IF(J12&gt;=6,"Medium","Low")))</f>
        <v/>
      </c>
      <c r="L12" s="2" t="inlineStr">
        <is>
          <t>C / I</t>
        </is>
      </c>
      <c r="M12" s="2" t="inlineStr">
        <is>
          <t>SSO; messaging controls</t>
        </is>
      </c>
      <c r="N12" s="2" t="inlineStr">
        <is>
          <t>Verify high-risk requests through a second channel; restrict external messaging; train targeted teams</t>
        </is>
      </c>
      <c r="O12" s="2" t="inlineStr">
        <is>
          <t>Security Awareness</t>
        </is>
      </c>
      <c r="P12" s="2" t="inlineStr">
        <is>
          <t>Mitigation Planned</t>
        </is>
      </c>
    </row>
    <row r="13">
      <c r="A13" s="2" t="inlineStr">
        <is>
          <t>PSE-012</t>
        </is>
      </c>
      <c r="B13" s="2" t="inlineStr">
        <is>
          <t>OAuth consent phishing</t>
        </is>
      </c>
      <c r="C13" s="2" t="inlineStr">
        <is>
          <t>Gain persistent cloud access</t>
        </is>
      </c>
      <c r="D13" s="2" t="inlineStr">
        <is>
          <t>Cloud application users</t>
        </is>
      </c>
      <c r="E13" s="2" t="inlineStr">
        <is>
          <t>Malicious application requests OAuth permissions</t>
        </is>
      </c>
      <c r="F13" s="2" t="inlineStr">
        <is>
          <t>Users may approve excessive permissions without understanding scope</t>
        </is>
      </c>
      <c r="G13" s="2" t="inlineStr">
        <is>
          <t>Unknown app; broad permissions; unexpected consent page; external publisher</t>
        </is>
      </c>
      <c r="H13" s="2" t="n">
        <v>3</v>
      </c>
      <c r="I13" s="2" t="n">
        <v>5</v>
      </c>
      <c r="J13" s="2">
        <f>H13*I13</f>
        <v/>
      </c>
      <c r="K13" s="2">
        <f>IF(J13&gt;=20,"Critical",IF(J13&gt;=12,"High",IF(J13&gt;=6,"Medium","Low")))</f>
        <v/>
      </c>
      <c r="L13" s="2" t="inlineStr">
        <is>
          <t>C / I</t>
        </is>
      </c>
      <c r="M13" s="2" t="inlineStr">
        <is>
          <t>Cloud app controls; user consent settings</t>
        </is>
      </c>
      <c r="N13" s="2" t="inlineStr">
        <is>
          <t>Restrict user consent; admin approval workflow; monitor risky OAuth grants; revoke suspicious tokens</t>
        </is>
      </c>
      <c r="O13" s="2" t="inlineStr">
        <is>
          <t>Cloud Security</t>
        </is>
      </c>
      <c r="P13" s="2" t="inlineStr">
        <is>
          <t>Open</t>
        </is>
      </c>
    </row>
  </sheetData>
  <autoFilter ref="A1:P13"/>
  <conditionalFormatting sqref="J2:J13">
    <cfRule type="cellIs" priority="1" operator="greaterThanOrEqual" dxfId="0">
      <formula>20</formula>
    </cfRule>
    <cfRule type="cellIs" priority="2" operator="between" dxfId="1">
      <formula>12</formula>
      <formula>19</formula>
    </cfRule>
    <cfRule type="cellIs" priority="3" operator="between" dxfId="2">
      <formula>6</formula>
      <formula>11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24" customWidth="1" min="1" max="1"/>
    <col width="48" customWidth="1" min="2" max="2"/>
    <col width="26" customWidth="1" min="3" max="3"/>
    <col width="20" customWidth="1" min="4" max="4"/>
    <col width="50" customWidth="1" min="5" max="5"/>
  </cols>
  <sheetData>
    <row r="1">
      <c r="A1" s="3" t="inlineStr">
        <is>
          <t>Phishing &amp; Social Engineering Risk Scoring Guide</t>
        </is>
      </c>
      <c r="B1" s="4" t="n"/>
      <c r="C1" s="4" t="n"/>
      <c r="D1" s="4" t="n"/>
      <c r="E1" s="4" t="n"/>
    </row>
    <row r="2">
      <c r="A2" s="4" t="inlineStr">
        <is>
          <t>Likelihood</t>
        </is>
      </c>
      <c r="B2" s="4" t="inlineStr">
        <is>
          <t>Definition</t>
        </is>
      </c>
      <c r="C2" s="4" t="inlineStr"/>
      <c r="D2" s="4" t="inlineStr">
        <is>
          <t>Impact</t>
        </is>
      </c>
      <c r="E2" s="4" t="inlineStr">
        <is>
          <t>Definition</t>
        </is>
      </c>
    </row>
    <row r="3">
      <c r="A3" s="4" t="n">
        <v>1</v>
      </c>
      <c r="B3" s="4" t="inlineStr">
        <is>
          <t>Rare – unlikely in the current environment</t>
        </is>
      </c>
      <c r="C3" s="4" t="inlineStr"/>
      <c r="D3" s="4" t="n">
        <v>1</v>
      </c>
      <c r="E3" s="4" t="inlineStr">
        <is>
          <t>Minimal – negligible business effect</t>
        </is>
      </c>
    </row>
    <row r="4">
      <c r="A4" s="4" t="n">
        <v>2</v>
      </c>
      <c r="B4" s="4" t="inlineStr">
        <is>
          <t>Unlikely – possible but not expected</t>
        </is>
      </c>
      <c r="C4" s="4" t="inlineStr"/>
      <c r="D4" s="4" t="n">
        <v>2</v>
      </c>
      <c r="E4" s="4" t="inlineStr">
        <is>
          <t>Minor – limited disruption</t>
        </is>
      </c>
    </row>
    <row r="5">
      <c r="A5" s="4" t="n">
        <v>3</v>
      </c>
      <c r="B5" s="4" t="inlineStr">
        <is>
          <t>Possible – credible and may occur</t>
        </is>
      </c>
      <c r="C5" s="4" t="inlineStr"/>
      <c r="D5" s="4" t="n">
        <v>3</v>
      </c>
      <c r="E5" s="4" t="inlineStr">
        <is>
          <t>Moderate – measurable operational effect</t>
        </is>
      </c>
    </row>
    <row r="6">
      <c r="A6" s="4" t="n">
        <v>4</v>
      </c>
      <c r="B6" s="4" t="inlineStr">
        <is>
          <t>Likely – expected to occur</t>
        </is>
      </c>
      <c r="C6" s="4" t="inlineStr"/>
      <c r="D6" s="4" t="n">
        <v>4</v>
      </c>
      <c r="E6" s="4" t="inlineStr">
        <is>
          <t>Major – significant financial, operational, or data impact</t>
        </is>
      </c>
    </row>
    <row r="7">
      <c r="A7" s="4" t="n">
        <v>5</v>
      </c>
      <c r="B7" s="4" t="inlineStr">
        <is>
          <t>Almost Certain – frequent or highly expected</t>
        </is>
      </c>
      <c r="C7" s="4" t="inlineStr"/>
      <c r="D7" s="4" t="n">
        <v>5</v>
      </c>
      <c r="E7" s="4" t="inlineStr">
        <is>
          <t>Severe – enterprise disruption, major data loss, legal or regulatory impact</t>
        </is>
      </c>
    </row>
    <row r="8">
      <c r="A8" s="4" t="n"/>
      <c r="B8" s="4" t="n"/>
      <c r="C8" s="4" t="n"/>
      <c r="D8" s="4" t="n"/>
      <c r="E8" s="4" t="n"/>
    </row>
    <row r="9">
      <c r="A9" s="5" t="inlineStr">
        <is>
          <t>Risk Score</t>
        </is>
      </c>
      <c r="B9" s="5" t="inlineStr">
        <is>
          <t>Risk Level</t>
        </is>
      </c>
      <c r="C9" s="5" t="inlineStr">
        <is>
          <t>Treatment Priority</t>
        </is>
      </c>
      <c r="D9" s="5" t="n"/>
      <c r="E9" s="5" t="n"/>
    </row>
    <row r="10">
      <c r="A10" s="4" t="n">
        <v>1</v>
      </c>
      <c r="B10" s="4" t="inlineStr">
        <is>
          <t>Low</t>
        </is>
      </c>
      <c r="C10" s="4" t="inlineStr">
        <is>
          <t>Monitor / accept as appropriate</t>
        </is>
      </c>
      <c r="D10" s="4" t="n"/>
      <c r="E10" s="4" t="n"/>
    </row>
    <row r="11">
      <c r="A11" s="4" t="n">
        <v>6</v>
      </c>
      <c r="B11" s="4" t="inlineStr">
        <is>
          <t>Medium</t>
        </is>
      </c>
      <c r="C11" s="4" t="inlineStr">
        <is>
          <t>Plan mitigation</t>
        </is>
      </c>
      <c r="D11" s="4" t="n"/>
      <c r="E11" s="4" t="n"/>
    </row>
    <row r="12">
      <c r="A12" s="4" t="n">
        <v>12</v>
      </c>
      <c r="B12" s="4" t="inlineStr">
        <is>
          <t>High</t>
        </is>
      </c>
      <c r="C12" s="4" t="inlineStr">
        <is>
          <t>Prioritize mitigation</t>
        </is>
      </c>
      <c r="D12" s="4" t="n"/>
      <c r="E12" s="4" t="n"/>
    </row>
    <row r="13">
      <c r="A13" s="4" t="n">
        <v>20</v>
      </c>
      <c r="B13" s="4" t="inlineStr">
        <is>
          <t>Critical</t>
        </is>
      </c>
      <c r="C13" s="4" t="inlineStr">
        <is>
          <t>Immediate attention</t>
        </is>
      </c>
      <c r="D13" s="4" t="n"/>
      <c r="E13" s="4" t="n"/>
    </row>
    <row r="14">
      <c r="A14" s="4" t="n"/>
      <c r="B14" s="4" t="n"/>
      <c r="C14" s="4" t="n"/>
      <c r="D14" s="4" t="n"/>
      <c r="E14" s="4" t="n"/>
    </row>
    <row r="15">
      <c r="A15" s="4" t="inlineStr">
        <is>
          <t>Portfolio Note</t>
        </is>
      </c>
      <c r="B15" s="4" t="inlineStr">
        <is>
          <t>Original fictional assessment created for cybersecurity portfolio demonstration; no real employee, organization, or live phishing campaign data is used.</t>
        </is>
      </c>
      <c r="C15" s="4" t="n"/>
      <c r="D15" s="4" t="n"/>
      <c r="E15" s="4" t="n"/>
    </row>
    <row r="16">
      <c r="A16" s="4" t="n"/>
      <c r="B16" s="4" t="n"/>
      <c r="C16" s="4" t="n"/>
      <c r="D16" s="4" t="n"/>
      <c r="E16" s="4" t="n"/>
    </row>
    <row r="17">
      <c r="A17" s="4" t="inlineStr">
        <is>
          <t>Reference Framework</t>
        </is>
      </c>
      <c r="B17" s="4" t="inlineStr">
        <is>
          <t>NIST Cybersecurity Framework (CSF) 2.0</t>
        </is>
      </c>
      <c r="C17" s="4" t="n"/>
      <c r="D17" s="4" t="n"/>
      <c r="E17" s="4" t="n"/>
    </row>
    <row r="18">
      <c r="A18" s="4" t="inlineStr">
        <is>
          <t>Source</t>
        </is>
      </c>
      <c r="B18" s="4" t="inlineStr">
        <is>
          <t>https://www.nist.gov/cyberframework</t>
        </is>
      </c>
      <c r="C18" s="4" t="n"/>
      <c r="D18" s="4" t="n"/>
      <c r="E18" s="4" t="n"/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8" customWidth="1" min="4" max="4"/>
    <col width="12" customWidth="1" min="5" max="5"/>
  </cols>
  <sheetData>
    <row r="1">
      <c r="A1" s="6" t="inlineStr">
        <is>
          <t>Phishing &amp; Social Engineering Risk Dashboard</t>
        </is>
      </c>
    </row>
    <row r="3">
      <c r="A3" s="7" t="inlineStr">
        <is>
          <t>Metric</t>
        </is>
      </c>
      <c r="B3" s="7" t="inlineStr">
        <is>
          <t>Value</t>
        </is>
      </c>
      <c r="C3" t="inlineStr"/>
      <c r="D3" s="7" t="inlineStr">
        <is>
          <t>Risk Level</t>
        </is>
      </c>
      <c r="E3" s="7" t="inlineStr">
        <is>
          <t>Count</t>
        </is>
      </c>
    </row>
    <row r="4">
      <c r="A4" t="inlineStr">
        <is>
          <t>Total Scenarios</t>
        </is>
      </c>
      <c r="B4">
        <f>COUNTA('Risk Assessment'!A2:A13)</f>
        <v/>
      </c>
      <c r="D4" t="inlineStr">
        <is>
          <t>Critical</t>
        </is>
      </c>
      <c r="E4">
        <f>COUNTIF('Risk Assessment'!K2:K13,"Critical")</f>
        <v/>
      </c>
    </row>
    <row r="5">
      <c r="A5" t="inlineStr">
        <is>
          <t>Critical Risks</t>
        </is>
      </c>
      <c r="B5">
        <f>COUNTIF('Risk Assessment'!K2:K13,"Critical")</f>
        <v/>
      </c>
      <c r="D5" t="inlineStr">
        <is>
          <t>High</t>
        </is>
      </c>
      <c r="E5">
        <f>COUNTIF('Risk Assessment'!K2:K13,"High")</f>
        <v/>
      </c>
    </row>
    <row r="6">
      <c r="A6" t="inlineStr">
        <is>
          <t>High Risks</t>
        </is>
      </c>
      <c r="B6">
        <f>COUNTIF('Risk Assessment'!K2:K13,"High")</f>
        <v/>
      </c>
      <c r="D6" t="inlineStr">
        <is>
          <t>Medium</t>
        </is>
      </c>
      <c r="E6">
        <f>COUNTIF('Risk Assessment'!K2:K13,"Medium")</f>
        <v/>
      </c>
    </row>
    <row r="7">
      <c r="A7" t="inlineStr">
        <is>
          <t>Open / Active Items</t>
        </is>
      </c>
      <c r="B7">
        <f>COUNTIF('Risk Assessment'!P2:P13,"&lt;&gt;Closed")</f>
        <v/>
      </c>
      <c r="D7" t="inlineStr">
        <is>
          <t>Low</t>
        </is>
      </c>
      <c r="E7">
        <f>COUNTIF('Risk Assessment'!K2:K13,"Low")</f>
        <v/>
      </c>
    </row>
  </sheetData>
  <mergeCells count="1">
    <mergeCell ref="A1:H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2026-08-12T08:48:58Z</dcterms:created>
  <dcterms:modified xmlns:dcterms="http://purl.org/dc/terms/" xmlns:xsi="http://www.w3.org/2001/XMLSchema-instance" xsi:type="dcterms:W3CDTF">2026-08-12T08:48:58Z</dcterms:modified>
</cp:coreProperties>
</file>
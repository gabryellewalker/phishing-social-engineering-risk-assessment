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etrics Guide" sheetId="3" state="visible" r:id="rId3"/>
  </sheets>
  <definedNames>
    <definedName name="_xlnm._FilterDatabase" localSheetId="0" hidden="1">'Simulation Data'!$A$1:$K$5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 &quot;min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Phishing Simulation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 Data'!H1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'Simulation Data'!$A$2:$A$5</f>
            </numRef>
          </cat>
          <val>
            <numRef>
              <f>'Simulation Data'!$H$2:$H$5</f>
            </numRef>
          </val>
        </ser>
        <ser>
          <idx val="1"/>
          <order val="1"/>
          <tx>
            <strRef>
              <f>'Simulation 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'Simulation Data'!$A$2:$A$5</f>
            </numRef>
          </cat>
          <val>
            <numRef>
              <f>'Simulation Data'!$I$2:$I$5</f>
            </numRef>
          </val>
        </ser>
        <ser>
          <idx val="2"/>
          <order val="2"/>
          <tx>
            <strRef>
              <f>'Simulation Data'!J1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'Simulation Data'!$A$2:$A$5</f>
            </numRef>
          </cat>
          <val>
            <numRef>
              <f>'Simulation Data'!$J$2:$J$5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Completion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 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'Simulation Data'!$A$2:$A$5</f>
            </numRef>
          </cat>
          <val>
            <numRef>
              <f>'Simulation Data'!$F$2:$F$5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2" customWidth="1" min="4" max="4"/>
    <col width="17" customWidth="1" min="5" max="5"/>
    <col width="20" customWidth="1" min="6" max="6"/>
    <col width="28" customWidth="1" min="7" max="7"/>
    <col width="14" customWidth="1" min="8" max="8"/>
    <col width="25" customWidth="1" min="9" max="9"/>
    <col width="16" customWidth="1" min="10" max="10"/>
    <col width="25" customWidth="1" min="11" max="11"/>
  </cols>
  <sheetData>
    <row r="1">
      <c r="A1" s="1" t="inlineStr">
        <is>
          <t>Quarter</t>
        </is>
      </c>
      <c r="B1" s="1" t="inlineStr">
        <is>
          <t>Employees Tested</t>
        </is>
      </c>
      <c r="C1" s="1" t="inlineStr">
        <is>
          <t>Clicked Link</t>
        </is>
      </c>
      <c r="D1" s="1" t="inlineStr">
        <is>
          <t>Submitted Credentials</t>
        </is>
      </c>
      <c r="E1" s="1" t="inlineStr">
        <is>
          <t>Reported Phish</t>
        </is>
      </c>
      <c r="F1" s="1" t="inlineStr">
        <is>
          <t>Training Completed</t>
        </is>
      </c>
      <c r="G1" s="1" t="inlineStr">
        <is>
          <t>Median Time to Report (min)</t>
        </is>
      </c>
      <c r="H1" s="1" t="inlineStr">
        <is>
          <t>Click Rate</t>
        </is>
      </c>
      <c r="I1" s="1" t="inlineStr">
        <is>
          <t>Credential Submission Rate</t>
        </is>
      </c>
      <c r="J1" s="1" t="inlineStr">
        <is>
          <t>Reporting Rate</t>
        </is>
      </c>
      <c r="K1" s="1" t="inlineStr">
        <is>
          <t>Training Completion Rate</t>
        </is>
      </c>
    </row>
    <row r="2">
      <c r="A2" s="2" t="inlineStr">
        <is>
          <t>Q1</t>
        </is>
      </c>
      <c r="B2" s="2" t="n">
        <v>250</v>
      </c>
      <c r="C2" s="2" t="n">
        <v>52</v>
      </c>
      <c r="D2" s="2" t="n">
        <v>24</v>
      </c>
      <c r="E2" s="2" t="n">
        <v>78</v>
      </c>
      <c r="F2" s="2" t="n">
        <v>232</v>
      </c>
      <c r="G2" s="2" t="n">
        <v>42</v>
      </c>
      <c r="H2" s="3">
        <f>C2/B2</f>
        <v/>
      </c>
      <c r="I2" s="3">
        <f>D2/B2</f>
        <v/>
      </c>
      <c r="J2" s="3">
        <f>E2/B2</f>
        <v/>
      </c>
      <c r="K2" s="3">
        <f>F2/B2</f>
        <v/>
      </c>
    </row>
    <row r="3">
      <c r="A3" s="2" t="inlineStr">
        <is>
          <t>Q2</t>
        </is>
      </c>
      <c r="B3" s="2" t="n">
        <v>255</v>
      </c>
      <c r="C3" s="2" t="n">
        <v>41</v>
      </c>
      <c r="D3" s="2" t="n">
        <v>17</v>
      </c>
      <c r="E3" s="2" t="n">
        <v>101</v>
      </c>
      <c r="F3" s="2" t="n">
        <v>245</v>
      </c>
      <c r="G3" s="2" t="n">
        <v>31</v>
      </c>
      <c r="H3" s="3">
        <f>C3/B3</f>
        <v/>
      </c>
      <c r="I3" s="3">
        <f>D3/B3</f>
        <v/>
      </c>
      <c r="J3" s="3">
        <f>E3/B3</f>
        <v/>
      </c>
      <c r="K3" s="3">
        <f>F3/B3</f>
        <v/>
      </c>
    </row>
    <row r="4">
      <c r="A4" s="2" t="inlineStr">
        <is>
          <t>Q3</t>
        </is>
      </c>
      <c r="B4" s="2" t="n">
        <v>260</v>
      </c>
      <c r="C4" s="2" t="n">
        <v>29</v>
      </c>
      <c r="D4" s="2" t="n">
        <v>10</v>
      </c>
      <c r="E4" s="2" t="n">
        <v>132</v>
      </c>
      <c r="F4" s="2" t="n">
        <v>255</v>
      </c>
      <c r="G4" s="2" t="n">
        <v>22</v>
      </c>
      <c r="H4" s="3">
        <f>C4/B4</f>
        <v/>
      </c>
      <c r="I4" s="3">
        <f>D4/B4</f>
        <v/>
      </c>
      <c r="J4" s="3">
        <f>E4/B4</f>
        <v/>
      </c>
      <c r="K4" s="3">
        <f>F4/B4</f>
        <v/>
      </c>
    </row>
    <row r="5">
      <c r="A5" s="2" t="inlineStr">
        <is>
          <t>Q4</t>
        </is>
      </c>
      <c r="B5" s="2" t="n">
        <v>265</v>
      </c>
      <c r="C5" s="2" t="n">
        <v>18</v>
      </c>
      <c r="D5" s="2" t="n">
        <v>5</v>
      </c>
      <c r="E5" s="2" t="n">
        <v>168</v>
      </c>
      <c r="F5" s="2" t="n">
        <v>263</v>
      </c>
      <c r="G5" s="2" t="n">
        <v>14</v>
      </c>
      <c r="H5" s="3">
        <f>C5/B5</f>
        <v/>
      </c>
      <c r="I5" s="3">
        <f>D5/B5</f>
        <v/>
      </c>
      <c r="J5" s="3">
        <f>E5/B5</f>
        <v/>
      </c>
      <c r="K5" s="3">
        <f>F5/B5</f>
        <v/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Security Awareness Metrics Dashboard</t>
        </is>
      </c>
    </row>
    <row r="3">
      <c r="A3" t="inlineStr">
        <is>
          <t>Portfolio Scenario</t>
        </is>
      </c>
      <c r="B3" s="5" t="inlineStr">
        <is>
          <t>Fictional quarterly phishing simulation results demonstrating how an analyst can measure awareness-program effectiveness.</t>
        </is>
      </c>
    </row>
    <row r="5">
      <c r="A5" s="6" t="inlineStr">
        <is>
          <t>KPI</t>
        </is>
      </c>
      <c r="B5" s="6" t="inlineStr">
        <is>
          <t>Current</t>
        </is>
      </c>
      <c r="C5" s="6" t="inlineStr">
        <is>
          <t>Target</t>
        </is>
      </c>
      <c r="D5" s="6" t="n"/>
      <c r="E5" s="6" t="n"/>
      <c r="F5" s="6" t="n"/>
      <c r="G5" s="6" t="n"/>
      <c r="H5" s="6" t="n"/>
    </row>
    <row r="6">
      <c r="A6" t="inlineStr">
        <is>
          <t>Latest Click Rate</t>
        </is>
      </c>
      <c r="B6" s="7">
        <f>'Simulation Data'!H5</f>
        <v/>
      </c>
      <c r="C6" t="inlineStr">
        <is>
          <t>Target: &lt; 10%</t>
        </is>
      </c>
    </row>
    <row r="7">
      <c r="A7" t="inlineStr">
        <is>
          <t>Latest Credential Submission Rate</t>
        </is>
      </c>
      <c r="B7" s="7">
        <f>'Simulation Data'!I5</f>
        <v/>
      </c>
      <c r="C7" t="inlineStr">
        <is>
          <t>Target: &lt; 5%</t>
        </is>
      </c>
    </row>
    <row r="8">
      <c r="A8" t="inlineStr">
        <is>
          <t>Latest Reporting Rate</t>
        </is>
      </c>
      <c r="B8" s="7">
        <f>'Simulation Data'!J5</f>
        <v/>
      </c>
      <c r="C8" t="inlineStr">
        <is>
          <t>Target: &gt; 60%</t>
        </is>
      </c>
    </row>
    <row r="9">
      <c r="A9" t="inlineStr">
        <is>
          <t>Training Completion Rate</t>
        </is>
      </c>
      <c r="B9" s="7">
        <f>'Simulation Data'!K5</f>
        <v/>
      </c>
      <c r="C9" t="inlineStr">
        <is>
          <t>Target: &gt; 98%</t>
        </is>
      </c>
    </row>
    <row r="10">
      <c r="A10" t="inlineStr">
        <is>
          <t>Median Time to Report</t>
        </is>
      </c>
      <c r="B10" s="8">
        <f>'Simulation Data'!G5</f>
        <v/>
      </c>
      <c r="C10" t="inlineStr">
        <is>
          <t>Target: &lt; 15 min</t>
        </is>
      </c>
    </row>
  </sheetData>
  <mergeCells count="2">
    <mergeCell ref="B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22" customWidth="1" min="3" max="3"/>
    <col width="48" customWidth="1" min="4" max="4"/>
  </cols>
  <sheetData>
    <row r="1">
      <c r="A1" s="9" t="inlineStr">
        <is>
          <t>Security Awareness Metrics Guide</t>
        </is>
      </c>
      <c r="B1" s="10" t="n"/>
      <c r="C1" s="10" t="n"/>
      <c r="D1" s="10" t="n"/>
    </row>
    <row r="2">
      <c r="A2" s="10" t="n"/>
      <c r="B2" s="10" t="n"/>
      <c r="C2" s="10" t="n"/>
      <c r="D2" s="10" t="n"/>
    </row>
    <row r="3">
      <c r="A3" s="11" t="inlineStr">
        <is>
          <t>Metric</t>
        </is>
      </c>
      <c r="B3" s="11" t="inlineStr">
        <is>
          <t>Definition</t>
        </is>
      </c>
      <c r="C3" s="11" t="inlineStr">
        <is>
          <t>Desired Direction</t>
        </is>
      </c>
      <c r="D3" s="11" t="inlineStr">
        <is>
          <t>Why It Matters</t>
        </is>
      </c>
    </row>
    <row r="4">
      <c r="A4" s="10" t="inlineStr">
        <is>
          <t>Click Rate</t>
        </is>
      </c>
      <c r="B4" s="10" t="inlineStr">
        <is>
          <t>Percentage of tested employees who clicked the simulated phishing link.</t>
        </is>
      </c>
      <c r="C4" s="10" t="inlineStr">
        <is>
          <t>Decrease</t>
        </is>
      </c>
      <c r="D4" s="10" t="inlineStr">
        <is>
          <t>Measures susceptibility to phishing interaction.</t>
        </is>
      </c>
    </row>
    <row r="5">
      <c r="A5" s="10" t="inlineStr">
        <is>
          <t>Credential Submission Rate</t>
        </is>
      </c>
      <c r="B5" s="10" t="inlineStr">
        <is>
          <t>Percentage who submitted simulated credentials.</t>
        </is>
      </c>
      <c r="C5" s="10" t="inlineStr">
        <is>
          <t>Decrease</t>
        </is>
      </c>
      <c r="D5" s="10" t="inlineStr">
        <is>
          <t>Measures a higher-risk behavior that could enable account takeover.</t>
        </is>
      </c>
    </row>
    <row r="6">
      <c r="A6" s="10" t="inlineStr">
        <is>
          <t>Reporting Rate</t>
        </is>
      </c>
      <c r="B6" s="10" t="inlineStr">
        <is>
          <t>Percentage who reported the simulated phishing message.</t>
        </is>
      </c>
      <c r="C6" s="10" t="inlineStr">
        <is>
          <t>Increase</t>
        </is>
      </c>
      <c r="D6" s="10" t="inlineStr">
        <is>
          <t>Measures recognition and active defensive behavior.</t>
        </is>
      </c>
    </row>
    <row r="7">
      <c r="A7" s="10" t="inlineStr">
        <is>
          <t>Training Completion Rate</t>
        </is>
      </c>
      <c r="B7" s="10" t="inlineStr">
        <is>
          <t>Percentage completing assigned security awareness training.</t>
        </is>
      </c>
      <c r="C7" s="10" t="inlineStr">
        <is>
          <t>Increase</t>
        </is>
      </c>
      <c r="D7" s="10" t="inlineStr">
        <is>
          <t>Measures program participation and coverage.</t>
        </is>
      </c>
    </row>
    <row r="8">
      <c r="A8" s="10" t="inlineStr">
        <is>
          <t>Median Time to Report</t>
        </is>
      </c>
      <c r="B8" s="10" t="inlineStr">
        <is>
          <t>Median minutes between delivery and employee reporting.</t>
        </is>
      </c>
      <c r="C8" s="10" t="inlineStr">
        <is>
          <t>Decrease</t>
        </is>
      </c>
      <c r="D8" s="10" t="inlineStr">
        <is>
          <t>Faster reporting gives security teams more time to contain campaigns.</t>
        </is>
      </c>
    </row>
    <row r="10">
      <c r="A10" t="inlineStr">
        <is>
          <t>Portfolio Note</t>
        </is>
      </c>
      <c r="B10" t="inlineStr">
        <is>
          <t>All data in this workbook is fictional and created solely for cybersecurity portfolio demonstration.</t>
        </is>
      </c>
    </row>
    <row r="12">
      <c r="A12" t="inlineStr">
        <is>
          <t>Reference Framework</t>
        </is>
      </c>
      <c r="B12" t="inlineStr">
        <is>
          <t>NIST Cybersecurity Framework (CSF) 2.0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2026-08-12T09:13:09Z</dcterms:created>
  <dcterms:modified xmlns:dcterms="http://purl.org/dc/terms/" xmlns:xsi="http://www.w3.org/2001/XMLSchema-instance" xsi:type="dcterms:W3CDTF">2026-08-12T09:13:09Z</dcterms:modified>
</cp:coreProperties>
</file>